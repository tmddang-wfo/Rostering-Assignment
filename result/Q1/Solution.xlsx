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inh\WS_Python\genesix-assignment\rostering-assignment\result\Q1\"/>
    </mc:Choice>
  </mc:AlternateContent>
  <xr:revisionPtr revIDLastSave="0" documentId="13_ncr:1_{4958FD19-1593-4CF5-8CE5-AE6FCB16AD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" sheetId="1" r:id="rId1"/>
    <sheet name="Raw_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 a="1"/>
  <c r="Z13" i="1" l="1"/>
  <c r="L13" i="1"/>
  <c r="Z12" i="1"/>
  <c r="L12" i="1"/>
  <c r="Z11" i="1"/>
  <c r="L11" i="1"/>
  <c r="Z10" i="1"/>
  <c r="L10" i="1"/>
  <c r="Z9" i="1"/>
  <c r="L9" i="1"/>
  <c r="Z8" i="1"/>
  <c r="L8" i="1"/>
  <c r="Z7" i="1"/>
  <c r="L7" i="1"/>
  <c r="Z6" i="1"/>
  <c r="L6" i="1"/>
  <c r="Z5" i="1"/>
  <c r="L5" i="1"/>
  <c r="J13" i="1"/>
  <c r="X11" i="1"/>
  <c r="X10" i="1"/>
  <c r="X9" i="1"/>
  <c r="X8" i="1"/>
  <c r="X7" i="1"/>
  <c r="X6" i="1"/>
  <c r="X5" i="1"/>
  <c r="W12" i="1"/>
  <c r="I11" i="1"/>
  <c r="I10" i="1"/>
  <c r="I9" i="1"/>
  <c r="I8" i="1"/>
  <c r="W6" i="1"/>
  <c r="W5" i="1"/>
  <c r="I5" i="1"/>
  <c r="V13" i="1"/>
  <c r="V12" i="1"/>
  <c r="V11" i="1"/>
  <c r="V10" i="1"/>
  <c r="V9" i="1"/>
  <c r="V8" i="1"/>
  <c r="V7" i="1"/>
  <c r="V6" i="1"/>
  <c r="V5" i="1"/>
  <c r="H5" i="1"/>
  <c r="Y13" i="1"/>
  <c r="K13" i="1"/>
  <c r="Y12" i="1"/>
  <c r="K12" i="1"/>
  <c r="Y11" i="1"/>
  <c r="K11" i="1"/>
  <c r="Y10" i="1"/>
  <c r="K10" i="1"/>
  <c r="Y9" i="1"/>
  <c r="K9" i="1"/>
  <c r="Y8" i="1"/>
  <c r="K8" i="1"/>
  <c r="Y7" i="1"/>
  <c r="K7" i="1"/>
  <c r="Y6" i="1"/>
  <c r="K6" i="1"/>
  <c r="Y5" i="1"/>
  <c r="K5" i="1"/>
  <c r="X13" i="1"/>
  <c r="X12" i="1"/>
  <c r="J12" i="1"/>
  <c r="J11" i="1"/>
  <c r="J10" i="1"/>
  <c r="J9" i="1"/>
  <c r="J8" i="1"/>
  <c r="J7" i="1"/>
  <c r="J6" i="1"/>
  <c r="J5" i="1"/>
  <c r="W13" i="1"/>
  <c r="I13" i="1"/>
  <c r="I12" i="1"/>
  <c r="W11" i="1"/>
  <c r="W10" i="1"/>
  <c r="W9" i="1"/>
  <c r="W8" i="1"/>
  <c r="W7" i="1"/>
  <c r="I7" i="1"/>
  <c r="I6" i="1"/>
  <c r="H13" i="1"/>
  <c r="H12" i="1"/>
  <c r="H11" i="1"/>
  <c r="H10" i="1"/>
  <c r="H9" i="1"/>
  <c r="H8" i="1"/>
  <c r="H7" i="1"/>
  <c r="F13" i="1"/>
  <c r="O12" i="1"/>
  <c r="S11" i="1"/>
  <c r="AB10" i="1"/>
  <c r="D10" i="1"/>
  <c r="M9" i="1"/>
  <c r="Q8" i="1"/>
  <c r="U7" i="1"/>
  <c r="B7" i="1"/>
  <c r="G6" i="1"/>
  <c r="P5" i="1"/>
  <c r="AC13" i="1"/>
  <c r="E13" i="1"/>
  <c r="N12" i="1"/>
  <c r="R11" i="1"/>
  <c r="AA10" i="1"/>
  <c r="C10" i="1"/>
  <c r="G9" i="1"/>
  <c r="P8" i="1"/>
  <c r="T7" i="1"/>
  <c r="AC6" i="1"/>
  <c r="F6" i="1"/>
  <c r="O5" i="1"/>
  <c r="AB13" i="1"/>
  <c r="D13" i="1"/>
  <c r="M12" i="1"/>
  <c r="Q11" i="1"/>
  <c r="U10" i="1"/>
  <c r="B10" i="1"/>
  <c r="F9" i="1"/>
  <c r="O8" i="1"/>
  <c r="S7" i="1"/>
  <c r="AB6" i="1"/>
  <c r="E6" i="1"/>
  <c r="N5" i="1"/>
  <c r="AA13" i="1"/>
  <c r="C13" i="1"/>
  <c r="G12" i="1"/>
  <c r="P11" i="1"/>
  <c r="T10" i="1"/>
  <c r="AC9" i="1"/>
  <c r="E9" i="1"/>
  <c r="N8" i="1"/>
  <c r="R7" i="1"/>
  <c r="AA6" i="1"/>
  <c r="D6" i="1"/>
  <c r="M5" i="1"/>
  <c r="G13" i="1"/>
  <c r="C12" i="1"/>
  <c r="C11" i="1"/>
  <c r="AA9" i="1"/>
  <c r="AA8" i="1"/>
  <c r="AA7" i="1"/>
  <c r="R6" i="1"/>
  <c r="S5" i="1"/>
  <c r="B13" i="1"/>
  <c r="B12" i="1"/>
  <c r="B11" i="1"/>
  <c r="U9" i="1"/>
  <c r="U8" i="1"/>
  <c r="Q7" i="1"/>
  <c r="Q6" i="1"/>
  <c r="R5" i="1"/>
  <c r="AC12" i="1"/>
  <c r="AC11" i="1"/>
  <c r="AC10" i="1"/>
  <c r="T9" i="1"/>
  <c r="T8" i="1"/>
  <c r="P7" i="1"/>
  <c r="P6" i="1"/>
  <c r="Q5" i="1"/>
  <c r="AB12" i="1"/>
  <c r="AB11" i="1"/>
  <c r="S10" i="1"/>
  <c r="S9" i="1"/>
  <c r="S8" i="1"/>
  <c r="O7" i="1"/>
  <c r="O6" i="1"/>
  <c r="G5" i="1"/>
  <c r="AA12" i="1"/>
  <c r="AA11" i="1"/>
  <c r="R10" i="1"/>
  <c r="R9" i="1"/>
  <c r="R8" i="1"/>
  <c r="N7" i="1"/>
  <c r="N6" i="1"/>
  <c r="F5" i="1"/>
  <c r="U13" i="1"/>
  <c r="U12" i="1"/>
  <c r="U11" i="1"/>
  <c r="Q10" i="1"/>
  <c r="T6" i="1"/>
  <c r="F8" i="1"/>
  <c r="F10" i="1"/>
  <c r="D12" i="1"/>
  <c r="S13" i="1"/>
  <c r="U6" i="1"/>
  <c r="G10" i="1"/>
  <c r="T13" i="1"/>
  <c r="P12" i="1"/>
  <c r="H6" i="1"/>
  <c r="Q9" i="1"/>
  <c r="N11" i="1"/>
  <c r="P13" i="1"/>
  <c r="E8" i="1"/>
  <c r="T11" i="1"/>
  <c r="R13" i="1"/>
  <c r="AB5" i="1"/>
  <c r="M7" i="1"/>
  <c r="D9" i="1"/>
  <c r="E11" i="1"/>
  <c r="T12" i="1"/>
  <c r="AC5" i="1"/>
  <c r="AB7" i="1"/>
  <c r="N9" i="1"/>
  <c r="F11" i="1"/>
  <c r="M13" i="1"/>
  <c r="B6" i="1"/>
  <c r="AC7" i="1"/>
  <c r="O9" i="1"/>
  <c r="G11" i="1"/>
  <c r="N13" i="1"/>
  <c r="C6" i="1"/>
  <c r="B8" i="1"/>
  <c r="P9" i="1"/>
  <c r="M11" i="1"/>
  <c r="O13" i="1"/>
  <c r="C8" i="1"/>
  <c r="M6" i="1"/>
  <c r="D8" i="1"/>
  <c r="AB9" i="1"/>
  <c r="O11" i="1"/>
  <c r="Q13" i="1"/>
  <c r="B5" i="1"/>
  <c r="S6" i="1"/>
  <c r="E10" i="1"/>
  <c r="C5" i="1"/>
  <c r="G8" i="1"/>
  <c r="E12" i="1"/>
  <c r="D5" i="1"/>
  <c r="C7" i="1"/>
  <c r="M8" i="1"/>
  <c r="M10" i="1"/>
  <c r="F12" i="1"/>
  <c r="E5" i="1"/>
  <c r="D7" i="1"/>
  <c r="AB8" i="1"/>
  <c r="N10" i="1"/>
  <c r="T5" i="1"/>
  <c r="E7" i="1"/>
  <c r="AC8" i="1"/>
  <c r="O10" i="1"/>
  <c r="Q12" i="1"/>
  <c r="U5" i="1"/>
  <c r="F7" i="1"/>
  <c r="B9" i="1"/>
  <c r="P10" i="1"/>
  <c r="R12" i="1"/>
  <c r="AA5" i="1"/>
  <c r="G7" i="1"/>
  <c r="C9" i="1"/>
  <c r="D11" i="1"/>
  <c r="S12" i="1"/>
  <c r="T16" i="1" l="1"/>
  <c r="T18" i="1"/>
  <c r="T17" i="1"/>
  <c r="T19" i="1"/>
  <c r="G20" i="1"/>
  <c r="G21" i="1"/>
  <c r="AC20" i="1"/>
  <c r="AC21" i="1"/>
  <c r="AA23" i="1"/>
  <c r="AA22" i="1"/>
  <c r="O23" i="1"/>
  <c r="O22" i="1"/>
  <c r="R16" i="1"/>
  <c r="R19" i="1"/>
  <c r="R18" i="1"/>
  <c r="R17" i="1"/>
  <c r="J23" i="1"/>
  <c r="J22" i="1"/>
  <c r="K23" i="1"/>
  <c r="K22" i="1"/>
  <c r="U21" i="1"/>
  <c r="U20" i="1"/>
  <c r="AA17" i="1"/>
  <c r="AA18" i="1"/>
  <c r="AA16" i="1"/>
  <c r="AA19" i="1"/>
  <c r="E19" i="1"/>
  <c r="E18" i="1"/>
  <c r="E17" i="1"/>
  <c r="E16" i="1"/>
  <c r="N21" i="1"/>
  <c r="N20" i="1"/>
  <c r="Q23" i="1"/>
  <c r="Q22" i="1"/>
  <c r="Z23" i="1"/>
  <c r="Z22" i="1"/>
  <c r="N23" i="1"/>
  <c r="N22" i="1"/>
  <c r="AB21" i="1"/>
  <c r="AB20" i="1"/>
  <c r="X22" i="1"/>
  <c r="X23" i="1"/>
  <c r="I21" i="1"/>
  <c r="I20" i="1"/>
  <c r="D20" i="1"/>
  <c r="D21" i="1"/>
  <c r="B16" i="1"/>
  <c r="B18" i="1"/>
  <c r="B17" i="1"/>
  <c r="B19" i="1"/>
  <c r="T21" i="1"/>
  <c r="T20" i="1"/>
  <c r="N19" i="1"/>
  <c r="N18" i="1"/>
  <c r="N17" i="1"/>
  <c r="N16" i="1"/>
  <c r="M23" i="1"/>
  <c r="M22" i="1"/>
  <c r="Y23" i="1"/>
  <c r="Y22" i="1"/>
  <c r="V23" i="1"/>
  <c r="V22" i="1"/>
  <c r="M18" i="1"/>
  <c r="M19" i="1"/>
  <c r="M16" i="1"/>
  <c r="M17" i="1"/>
  <c r="L23" i="1"/>
  <c r="L22" i="1"/>
  <c r="F21" i="1"/>
  <c r="F20" i="1"/>
  <c r="V21" i="1"/>
  <c r="V20" i="1"/>
  <c r="S21" i="1"/>
  <c r="S20" i="1"/>
  <c r="G18" i="1"/>
  <c r="G17" i="1"/>
  <c r="G16" i="1"/>
  <c r="G19" i="1"/>
  <c r="O17" i="1"/>
  <c r="O18" i="1"/>
  <c r="O19" i="1"/>
  <c r="O16" i="1"/>
  <c r="C20" i="1"/>
  <c r="C21" i="1"/>
  <c r="C22" i="1"/>
  <c r="C23" i="1"/>
  <c r="X19" i="1"/>
  <c r="X18" i="1"/>
  <c r="X17" i="1"/>
  <c r="X16" i="1"/>
  <c r="O20" i="1"/>
  <c r="O21" i="1"/>
  <c r="AB23" i="1"/>
  <c r="AB22" i="1"/>
  <c r="S22" i="1"/>
  <c r="S23" i="1"/>
  <c r="J21" i="1"/>
  <c r="J20" i="1"/>
  <c r="G23" i="1"/>
  <c r="G22" i="1"/>
  <c r="F19" i="1"/>
  <c r="F18" i="1"/>
  <c r="F17" i="1"/>
  <c r="F16" i="1"/>
  <c r="U23" i="1"/>
  <c r="U22" i="1"/>
  <c r="W23" i="1"/>
  <c r="W22" i="1"/>
  <c r="K21" i="1"/>
  <c r="K20" i="1"/>
  <c r="B22" i="1"/>
  <c r="B23" i="1"/>
  <c r="B21" i="1"/>
  <c r="B20" i="1"/>
  <c r="F22" i="1"/>
  <c r="F23" i="1"/>
  <c r="Y21" i="1"/>
  <c r="Y20" i="1"/>
  <c r="AC19" i="1"/>
  <c r="AC17" i="1"/>
  <c r="AC16" i="1"/>
  <c r="AC18" i="1"/>
  <c r="Q17" i="1"/>
  <c r="Q18" i="1"/>
  <c r="Q19" i="1"/>
  <c r="Q16" i="1"/>
  <c r="R20" i="1"/>
  <c r="R21" i="1"/>
  <c r="W21" i="1"/>
  <c r="W20" i="1"/>
  <c r="K19" i="1"/>
  <c r="K18" i="1"/>
  <c r="K17" i="1"/>
  <c r="K16" i="1"/>
  <c r="I19" i="1"/>
  <c r="I18" i="1"/>
  <c r="I17" i="1"/>
  <c r="I16" i="1"/>
  <c r="X21" i="1"/>
  <c r="X20" i="1"/>
  <c r="L21" i="1"/>
  <c r="L20" i="1"/>
  <c r="U16" i="1"/>
  <c r="U17" i="1"/>
  <c r="U19" i="1"/>
  <c r="U18" i="1"/>
  <c r="D19" i="1"/>
  <c r="D18" i="1"/>
  <c r="D17" i="1"/>
  <c r="D16" i="1"/>
  <c r="M21" i="1"/>
  <c r="M20" i="1"/>
  <c r="E22" i="1"/>
  <c r="E23" i="1"/>
  <c r="Y19" i="1"/>
  <c r="Y18" i="1"/>
  <c r="Y17" i="1"/>
  <c r="Y16" i="1"/>
  <c r="W19" i="1"/>
  <c r="W18" i="1"/>
  <c r="W17" i="1"/>
  <c r="W16" i="1"/>
  <c r="Z21" i="1"/>
  <c r="Z20" i="1"/>
  <c r="P23" i="1"/>
  <c r="P22" i="1"/>
  <c r="E20" i="1"/>
  <c r="E21" i="1"/>
  <c r="R23" i="1"/>
  <c r="R22" i="1"/>
  <c r="S16" i="1"/>
  <c r="S19" i="1"/>
  <c r="S18" i="1"/>
  <c r="S17" i="1"/>
  <c r="AC23" i="1"/>
  <c r="AC22" i="1"/>
  <c r="Q20" i="1"/>
  <c r="Q21" i="1"/>
  <c r="L19" i="1"/>
  <c r="L18" i="1"/>
  <c r="L17" i="1"/>
  <c r="L16" i="1"/>
  <c r="D22" i="1"/>
  <c r="D23" i="1"/>
  <c r="H23" i="1"/>
  <c r="H22" i="1"/>
  <c r="Z19" i="1"/>
  <c r="Z18" i="1"/>
  <c r="Z17" i="1"/>
  <c r="Z16" i="1"/>
  <c r="C19" i="1"/>
  <c r="C18" i="1"/>
  <c r="C17" i="1"/>
  <c r="C16" i="1"/>
  <c r="AA21" i="1"/>
  <c r="AA20" i="1"/>
  <c r="T22" i="1"/>
  <c r="T23" i="1"/>
  <c r="P20" i="1"/>
  <c r="P21" i="1"/>
  <c r="P17" i="1"/>
  <c r="P18" i="1"/>
  <c r="P19" i="1"/>
  <c r="P16" i="1"/>
  <c r="J16" i="1"/>
  <c r="J19" i="1"/>
  <c r="J18" i="1"/>
  <c r="J17" i="1"/>
  <c r="H19" i="1"/>
  <c r="H18" i="1"/>
  <c r="H17" i="1"/>
  <c r="H16" i="1"/>
  <c r="I23" i="1"/>
  <c r="I22" i="1"/>
  <c r="AB19" i="1"/>
  <c r="AB18" i="1"/>
  <c r="AB17" i="1"/>
  <c r="AB16" i="1"/>
  <c r="H21" i="1"/>
  <c r="H20" i="1"/>
  <c r="V19" i="1"/>
  <c r="V18" i="1"/>
  <c r="V17" i="1"/>
  <c r="V16" i="1"/>
</calcChain>
</file>

<file path=xl/sharedStrings.xml><?xml version="1.0" encoding="utf-8"?>
<sst xmlns="http://schemas.openxmlformats.org/spreadsheetml/2006/main" count="344" uniqueCount="71">
  <si>
    <t>Roster</t>
  </si>
  <si>
    <t>Mon</t>
  </si>
  <si>
    <t>Tue</t>
  </si>
  <si>
    <t>Wed</t>
  </si>
  <si>
    <t>Thu</t>
  </si>
  <si>
    <t>Fri</t>
  </si>
  <si>
    <t>Sat</t>
  </si>
  <si>
    <t>Sun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</si>
  <si>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</si>
  <si>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</si>
  <si>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</si>
  <si>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</si>
  <si>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</si>
  <si>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</si>
  <si>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</si>
  <si>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</si>
  <si>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</si>
  <si>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Coverage Statistics (DO NOT ENTER)</t>
  </si>
  <si>
    <t>All AM Shift</t>
  </si>
  <si>
    <t>All PM Shift</t>
  </si>
  <si>
    <t>AM - AG1</t>
  </si>
  <si>
    <t>PM - AG1</t>
  </si>
  <si>
    <t>AM - AG2</t>
  </si>
  <si>
    <t>PM - AG2</t>
  </si>
  <si>
    <t>AM - AG3</t>
  </si>
  <si>
    <t>PM - AG3</t>
  </si>
  <si>
    <t>Notes</t>
  </si>
  <si>
    <t>M1</t>
  </si>
  <si>
    <t>Morning Shift 1 (8H): 8 AM to 5 PM, 1-hour break.</t>
  </si>
  <si>
    <t>M2</t>
  </si>
  <si>
    <t>Morning Shift 2 (7H): 8 AM to 4 PM, 1-hour break</t>
  </si>
  <si>
    <t>M3</t>
  </si>
  <si>
    <t>Morning Shift 3 (4H): 8 AM to 12 PM, No break</t>
  </si>
  <si>
    <t>A1</t>
  </si>
  <si>
    <t>Afternoon shift 1 (8H): 1 PM to 10 PM, 1-hour break</t>
  </si>
  <si>
    <t>A2</t>
  </si>
  <si>
    <t>Afternoon Shift 2 (7H): 2 PM to 10 PM, 1-hour break</t>
  </si>
  <si>
    <t>DO</t>
  </si>
  <si>
    <t>Day off (0 hours)</t>
  </si>
  <si>
    <t>PH</t>
  </si>
  <si>
    <t>Off on Public Holiday (8 hours)</t>
  </si>
  <si>
    <t>* You must present your solution within range B5 to AC13</t>
  </si>
  <si>
    <t>staff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</si>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</sst>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6" xfId="0" applyBorder="1"/>
    <xf numFmtId="0" fontId="1" fillId="0" borderId="0" xfId="0" applyFont="1"/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0" borderId="0" xfId="0" applyFont="1"/>
    <xf numFmtId="0" fontId="3" fillId="0" borderId="9" xfId="0" applyFont="1" applyBorder="1" applyAlignment="1">
      <alignment horizontal="center" vertical="top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fgColor rgb="FFC6EFCE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C33"/>
  <sheetViews>
    <sheetView tabSelected="1" zoomScale="70" zoomScaleNormal="70" workbookViewId="0">
      <selection activeCell="L27" sqref="L27"/>
    </sheetView>
  </sheetViews>
  <sheetFormatPr defaultRowHeight="14.5" x14ac:dyDescent="0.35"/>
  <cols>
    <col min="1" max="1" width="11.453125" bestFit="1" customWidth="1"/>
    <col min="2" max="2" width="9.7265625" bestFit="1" customWidth="1"/>
    <col min="3" max="24" width="10.7265625" bestFit="1" customWidth="1"/>
  </cols>
  <sheetData>
    <row r="1" spans="1:29" x14ac:dyDescent="0.35">
      <c r="A1" s="17" t="s">
        <v>0</v>
      </c>
    </row>
    <row r="2" spans="1:29" s="1" customFormat="1" x14ac:dyDescent="0.35">
      <c r="A2" s="2"/>
      <c r="B2" s="3">
        <v>43808</v>
      </c>
      <c r="C2" s="3">
        <v>43809</v>
      </c>
      <c r="D2" s="3">
        <v>43810</v>
      </c>
      <c r="E2" s="3">
        <v>43811</v>
      </c>
      <c r="F2" s="3">
        <v>43812</v>
      </c>
      <c r="G2" s="3">
        <v>43813</v>
      </c>
      <c r="H2" s="3">
        <v>43814</v>
      </c>
      <c r="I2" s="3">
        <v>43815</v>
      </c>
      <c r="J2" s="3">
        <v>43816</v>
      </c>
      <c r="K2" s="3">
        <v>43817</v>
      </c>
      <c r="L2" s="3">
        <v>43818</v>
      </c>
      <c r="M2" s="3">
        <v>43819</v>
      </c>
      <c r="N2" s="3">
        <v>43820</v>
      </c>
      <c r="O2" s="3">
        <v>43821</v>
      </c>
      <c r="P2" s="3">
        <v>43822</v>
      </c>
      <c r="Q2" s="4">
        <v>43823</v>
      </c>
      <c r="R2" s="4">
        <v>43824</v>
      </c>
      <c r="S2" s="3">
        <v>43825</v>
      </c>
      <c r="T2" s="3">
        <v>43826</v>
      </c>
      <c r="U2" s="3">
        <v>43827</v>
      </c>
      <c r="V2" s="3">
        <v>43828</v>
      </c>
      <c r="W2" s="3">
        <v>43829</v>
      </c>
      <c r="X2" s="4">
        <v>43830</v>
      </c>
      <c r="Y2" s="4">
        <v>43831</v>
      </c>
      <c r="Z2" s="3">
        <v>43832</v>
      </c>
      <c r="AA2" s="3">
        <v>43833</v>
      </c>
      <c r="AB2" s="3">
        <v>43834</v>
      </c>
      <c r="AC2" s="5">
        <v>43835</v>
      </c>
    </row>
    <row r="3" spans="1:29" s="1" customFormat="1" x14ac:dyDescent="0.35">
      <c r="A3" s="6"/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8" t="s">
        <v>6</v>
      </c>
      <c r="H3" s="8" t="s">
        <v>7</v>
      </c>
      <c r="I3" s="7" t="s">
        <v>1</v>
      </c>
      <c r="J3" s="7" t="s">
        <v>2</v>
      </c>
      <c r="K3" s="7" t="s">
        <v>3</v>
      </c>
      <c r="L3" s="7" t="s">
        <v>4</v>
      </c>
      <c r="M3" s="7" t="s">
        <v>5</v>
      </c>
      <c r="N3" s="8" t="s">
        <v>6</v>
      </c>
      <c r="O3" s="8" t="s">
        <v>7</v>
      </c>
      <c r="P3" s="7" t="s">
        <v>1</v>
      </c>
      <c r="Q3" s="9" t="s">
        <v>2</v>
      </c>
      <c r="R3" s="9" t="s">
        <v>3</v>
      </c>
      <c r="S3" s="7" t="s">
        <v>4</v>
      </c>
      <c r="T3" s="7" t="s">
        <v>5</v>
      </c>
      <c r="U3" s="8" t="s">
        <v>6</v>
      </c>
      <c r="V3" s="8" t="s">
        <v>7</v>
      </c>
      <c r="W3" s="7" t="s">
        <v>1</v>
      </c>
      <c r="X3" s="9" t="s">
        <v>2</v>
      </c>
      <c r="Y3" s="9" t="s">
        <v>3</v>
      </c>
      <c r="Z3" s="7" t="s">
        <v>4</v>
      </c>
      <c r="AA3" s="7" t="s">
        <v>5</v>
      </c>
      <c r="AB3" s="8" t="s">
        <v>6</v>
      </c>
      <c r="AC3" s="10" t="s">
        <v>7</v>
      </c>
    </row>
    <row r="4" spans="1:29" s="1" customFormat="1" x14ac:dyDescent="0.35">
      <c r="A4" s="6"/>
      <c r="B4" s="1">
        <v>1</v>
      </c>
      <c r="C4" s="1">
        <v>2</v>
      </c>
      <c r="D4" s="1">
        <v>3</v>
      </c>
      <c r="E4" s="1">
        <v>4</v>
      </c>
      <c r="F4" s="1">
        <v>5</v>
      </c>
      <c r="G4" s="11">
        <v>6</v>
      </c>
      <c r="H4" s="1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1">
        <v>13</v>
      </c>
      <c r="O4" s="11">
        <v>14</v>
      </c>
      <c r="P4" s="1">
        <v>15</v>
      </c>
      <c r="Q4" s="12">
        <v>16</v>
      </c>
      <c r="R4" s="12">
        <v>17</v>
      </c>
      <c r="S4" s="1">
        <v>18</v>
      </c>
      <c r="T4" s="1">
        <v>19</v>
      </c>
      <c r="U4" s="11">
        <v>20</v>
      </c>
      <c r="V4" s="11">
        <v>21</v>
      </c>
      <c r="W4" s="1">
        <v>22</v>
      </c>
      <c r="X4" s="12">
        <v>23</v>
      </c>
      <c r="Y4" s="12">
        <v>24</v>
      </c>
      <c r="Z4" s="1">
        <v>25</v>
      </c>
      <c r="AA4" s="1">
        <v>26</v>
      </c>
      <c r="AB4" s="11">
        <v>27</v>
      </c>
      <c r="AC4" s="13">
        <v>28</v>
      </c>
    </row>
    <row r="5" spans="1:29" x14ac:dyDescent="0.35">
      <c r="A5" s="14" t="s">
        <v>8</v>
      </c>
      <c r="B5" s="1" t="str">
        <f t="array" ref="B5:AC13">Raw_results!B2:AC10</f>
        <v>M2</v>
      </c>
      <c r="C5" s="1" t="str">
        <v>A2</v>
      </c>
      <c r="D5" s="1" t="str">
        <v>A1</v>
      </c>
      <c r="E5" s="1" t="str">
        <v>M2</v>
      </c>
      <c r="F5" s="1" t="str">
        <v>M2</v>
      </c>
      <c r="G5" s="11" t="str">
        <v>A1</v>
      </c>
      <c r="H5" s="11" t="str">
        <v>DO</v>
      </c>
      <c r="I5" s="1" t="str">
        <v>M2</v>
      </c>
      <c r="J5" s="1" t="str">
        <v>A2</v>
      </c>
      <c r="K5" s="1" t="str">
        <v>A1</v>
      </c>
      <c r="L5" s="1" t="str">
        <v>M2</v>
      </c>
      <c r="M5" s="1" t="str">
        <v>M2</v>
      </c>
      <c r="N5" s="11" t="str">
        <v>A1</v>
      </c>
      <c r="O5" s="11" t="str">
        <v>DO</v>
      </c>
      <c r="P5" s="1" t="str">
        <v>M2</v>
      </c>
      <c r="Q5" s="1" t="str">
        <v>A2</v>
      </c>
      <c r="R5" s="1" t="str">
        <v>A2</v>
      </c>
      <c r="S5" s="1" t="str">
        <v>M1</v>
      </c>
      <c r="T5" s="1" t="str">
        <v>A1</v>
      </c>
      <c r="U5" s="11" t="str">
        <v>A2</v>
      </c>
      <c r="V5" s="11" t="str">
        <v>DO</v>
      </c>
      <c r="W5" s="1" t="str">
        <v>M2</v>
      </c>
      <c r="X5" s="1" t="str">
        <v>A2</v>
      </c>
      <c r="Y5" s="1" t="str">
        <v>A2</v>
      </c>
      <c r="Z5" s="1" t="str">
        <v>M1</v>
      </c>
      <c r="AA5" s="1" t="str">
        <v>A1</v>
      </c>
      <c r="AB5" s="11" t="str">
        <v>A2</v>
      </c>
      <c r="AC5" s="13" t="str">
        <v>DO</v>
      </c>
    </row>
    <row r="6" spans="1:29" x14ac:dyDescent="0.35">
      <c r="A6" s="15" t="s">
        <v>9</v>
      </c>
      <c r="B6" s="1" t="str">
        <v>M1</v>
      </c>
      <c r="C6" s="1" t="str">
        <v>A2</v>
      </c>
      <c r="D6" s="1" t="str">
        <v>A2</v>
      </c>
      <c r="E6" s="1" t="str">
        <v>DO</v>
      </c>
      <c r="F6" s="1" t="str">
        <v>M2</v>
      </c>
      <c r="G6" s="11" t="str">
        <v>A1</v>
      </c>
      <c r="H6" s="11" t="str">
        <v>A2</v>
      </c>
      <c r="I6" s="1" t="str">
        <v>M1</v>
      </c>
      <c r="J6" s="1" t="str">
        <v>A2</v>
      </c>
      <c r="K6" s="1" t="str">
        <v>A2</v>
      </c>
      <c r="L6" s="1" t="str">
        <v>DO</v>
      </c>
      <c r="M6" s="1" t="str">
        <v>M2</v>
      </c>
      <c r="N6" s="11" t="str">
        <v>A1</v>
      </c>
      <c r="O6" s="11" t="str">
        <v>A2</v>
      </c>
      <c r="P6" s="1" t="str">
        <v>A2</v>
      </c>
      <c r="Q6" s="1" t="str">
        <v>PH</v>
      </c>
      <c r="R6" s="1" t="str">
        <v>PH</v>
      </c>
      <c r="S6" s="1" t="str">
        <v>DO</v>
      </c>
      <c r="T6" s="1" t="str">
        <v>M2</v>
      </c>
      <c r="U6" s="11" t="str">
        <v>A2</v>
      </c>
      <c r="V6" s="11" t="str">
        <v>A2</v>
      </c>
      <c r="W6" s="1" t="str">
        <v>A2</v>
      </c>
      <c r="X6" s="1" t="str">
        <v>PH</v>
      </c>
      <c r="Y6" s="1" t="str">
        <v>PH</v>
      </c>
      <c r="Z6" s="1" t="str">
        <v>DO</v>
      </c>
      <c r="AA6" s="1" t="str">
        <v>M2</v>
      </c>
      <c r="AB6" s="11" t="str">
        <v>A2</v>
      </c>
      <c r="AC6" s="13" t="str">
        <v>A2</v>
      </c>
    </row>
    <row r="7" spans="1:29" x14ac:dyDescent="0.35">
      <c r="A7" s="14" t="s">
        <v>10</v>
      </c>
      <c r="B7" s="1" t="str">
        <v>A2</v>
      </c>
      <c r="C7" s="1" t="str">
        <v>A1</v>
      </c>
      <c r="D7" s="1" t="str">
        <v>M1</v>
      </c>
      <c r="E7" s="1" t="str">
        <v>A2</v>
      </c>
      <c r="F7" s="1" t="str">
        <v>M2</v>
      </c>
      <c r="G7" s="11" t="str">
        <v>DO</v>
      </c>
      <c r="H7" s="11" t="str">
        <v>M2</v>
      </c>
      <c r="I7" s="1" t="str">
        <v>A2</v>
      </c>
      <c r="J7" s="1" t="str">
        <v>A1</v>
      </c>
      <c r="K7" s="1" t="str">
        <v>M1</v>
      </c>
      <c r="L7" s="1" t="str">
        <v>A2</v>
      </c>
      <c r="M7" s="1" t="str">
        <v>M2</v>
      </c>
      <c r="N7" s="11" t="str">
        <v>DO</v>
      </c>
      <c r="O7" s="11" t="str">
        <v>M2</v>
      </c>
      <c r="P7" s="1" t="str">
        <v>DO</v>
      </c>
      <c r="Q7" s="1" t="str">
        <v>PH</v>
      </c>
      <c r="R7" s="1" t="str">
        <v>PH</v>
      </c>
      <c r="S7" s="1" t="str">
        <v>M2</v>
      </c>
      <c r="T7" s="1" t="str">
        <v>A2</v>
      </c>
      <c r="U7" s="11" t="str">
        <v>M2</v>
      </c>
      <c r="V7" s="11" t="str">
        <v>A2</v>
      </c>
      <c r="W7" s="1" t="str">
        <v>DO</v>
      </c>
      <c r="X7" s="1" t="str">
        <v>PH</v>
      </c>
      <c r="Y7" s="1" t="str">
        <v>PH</v>
      </c>
      <c r="Z7" s="1" t="str">
        <v>M2</v>
      </c>
      <c r="AA7" s="1" t="str">
        <v>A2</v>
      </c>
      <c r="AB7" s="11" t="str">
        <v>M2</v>
      </c>
      <c r="AC7" s="13" t="str">
        <v>A2</v>
      </c>
    </row>
    <row r="8" spans="1:29" x14ac:dyDescent="0.35">
      <c r="A8" s="15" t="s">
        <v>11</v>
      </c>
      <c r="B8" s="1" t="str">
        <v>A2</v>
      </c>
      <c r="C8" s="1" t="str">
        <v>DO</v>
      </c>
      <c r="D8" s="1" t="str">
        <v>M1</v>
      </c>
      <c r="E8" s="1" t="str">
        <v>M2</v>
      </c>
      <c r="F8" s="1" t="str">
        <v>A1</v>
      </c>
      <c r="G8" s="11" t="str">
        <v>M2</v>
      </c>
      <c r="H8" s="11" t="str">
        <v>M2</v>
      </c>
      <c r="I8" s="1" t="str">
        <v>A2</v>
      </c>
      <c r="J8" s="1" t="str">
        <v>DO</v>
      </c>
      <c r="K8" s="1" t="str">
        <v>M1</v>
      </c>
      <c r="L8" s="1" t="str">
        <v>M2</v>
      </c>
      <c r="M8" s="1" t="str">
        <v>A1</v>
      </c>
      <c r="N8" s="11" t="str">
        <v>M2</v>
      </c>
      <c r="O8" s="11" t="str">
        <v>M2</v>
      </c>
      <c r="P8" s="1" t="str">
        <v>A2</v>
      </c>
      <c r="Q8" s="1" t="str">
        <v>PH</v>
      </c>
      <c r="R8" s="1" t="str">
        <v>PH</v>
      </c>
      <c r="S8" s="1" t="str">
        <v>M2</v>
      </c>
      <c r="T8" s="1" t="str">
        <v>DO</v>
      </c>
      <c r="U8" s="11" t="str">
        <v>M2</v>
      </c>
      <c r="V8" s="11" t="str">
        <v>M2</v>
      </c>
      <c r="W8" s="1" t="str">
        <v>A2</v>
      </c>
      <c r="X8" s="1" t="str">
        <v>PH</v>
      </c>
      <c r="Y8" s="1" t="str">
        <v>PH</v>
      </c>
      <c r="Z8" s="1" t="str">
        <v>M2</v>
      </c>
      <c r="AA8" s="1" t="str">
        <v>DO</v>
      </c>
      <c r="AB8" s="11" t="str">
        <v>M2</v>
      </c>
      <c r="AC8" s="13" t="str">
        <v>M2</v>
      </c>
    </row>
    <row r="9" spans="1:29" x14ac:dyDescent="0.35">
      <c r="A9" s="14" t="s">
        <v>12</v>
      </c>
      <c r="B9" s="1" t="str">
        <v>A1</v>
      </c>
      <c r="C9" s="1" t="str">
        <v>M2</v>
      </c>
      <c r="D9" s="1" t="str">
        <v>A1</v>
      </c>
      <c r="E9" s="1" t="str">
        <v>A2</v>
      </c>
      <c r="F9" s="1" t="str">
        <v>M2</v>
      </c>
      <c r="G9" s="11" t="str">
        <v>A2</v>
      </c>
      <c r="H9" s="11" t="str">
        <v>DO</v>
      </c>
      <c r="I9" s="1" t="str">
        <v>A1</v>
      </c>
      <c r="J9" s="1" t="str">
        <v>M2</v>
      </c>
      <c r="K9" s="1" t="str">
        <v>A1</v>
      </c>
      <c r="L9" s="1" t="str">
        <v>A2</v>
      </c>
      <c r="M9" s="1" t="str">
        <v>M2</v>
      </c>
      <c r="N9" s="11" t="str">
        <v>A2</v>
      </c>
      <c r="O9" s="11" t="str">
        <v>DO</v>
      </c>
      <c r="P9" s="1" t="str">
        <v>DO</v>
      </c>
      <c r="Q9" s="1" t="str">
        <v>M1</v>
      </c>
      <c r="R9" s="1" t="str">
        <v>M2</v>
      </c>
      <c r="S9" s="1" t="str">
        <v>A2</v>
      </c>
      <c r="T9" s="1" t="str">
        <v>M2</v>
      </c>
      <c r="U9" s="11" t="str">
        <v>A2</v>
      </c>
      <c r="V9" s="11" t="str">
        <v>A1</v>
      </c>
      <c r="W9" s="1" t="str">
        <v>DO</v>
      </c>
      <c r="X9" s="1" t="str">
        <v>M1</v>
      </c>
      <c r="Y9" s="1" t="str">
        <v>M2</v>
      </c>
      <c r="Z9" s="1" t="str">
        <v>A2</v>
      </c>
      <c r="AA9" s="1" t="str">
        <v>M2</v>
      </c>
      <c r="AB9" s="11" t="str">
        <v>A2</v>
      </c>
      <c r="AC9" s="13" t="str">
        <v>A1</v>
      </c>
    </row>
    <row r="10" spans="1:29" x14ac:dyDescent="0.35">
      <c r="A10" s="15" t="s">
        <v>13</v>
      </c>
      <c r="B10" s="1" t="str">
        <v>DO</v>
      </c>
      <c r="C10" s="1" t="str">
        <v>M2</v>
      </c>
      <c r="D10" s="1" t="str">
        <v>M2</v>
      </c>
      <c r="E10" s="1" t="str">
        <v>A1</v>
      </c>
      <c r="F10" s="1" t="str">
        <v>A1</v>
      </c>
      <c r="G10" s="11" t="str">
        <v>M2</v>
      </c>
      <c r="H10" s="11" t="str">
        <v>A2</v>
      </c>
      <c r="I10" s="1" t="str">
        <v>DO</v>
      </c>
      <c r="J10" s="1" t="str">
        <v>M2</v>
      </c>
      <c r="K10" s="1" t="str">
        <v>M2</v>
      </c>
      <c r="L10" s="1" t="str">
        <v>A1</v>
      </c>
      <c r="M10" s="1" t="str">
        <v>A1</v>
      </c>
      <c r="N10" s="11" t="str">
        <v>M2</v>
      </c>
      <c r="O10" s="11" t="str">
        <v>A2</v>
      </c>
      <c r="P10" s="1" t="str">
        <v>M2</v>
      </c>
      <c r="Q10" s="1" t="str">
        <v>A1</v>
      </c>
      <c r="R10" s="1" t="str">
        <v>A1</v>
      </c>
      <c r="S10" s="1" t="str">
        <v>M2</v>
      </c>
      <c r="T10" s="1" t="str">
        <v>M2</v>
      </c>
      <c r="U10" s="11" t="str">
        <v>DO</v>
      </c>
      <c r="V10" s="11" t="str">
        <v>M2</v>
      </c>
      <c r="W10" s="1" t="str">
        <v>M2</v>
      </c>
      <c r="X10" s="1" t="str">
        <v>A1</v>
      </c>
      <c r="Y10" s="1" t="str">
        <v>A1</v>
      </c>
      <c r="Z10" s="1" t="str">
        <v>M2</v>
      </c>
      <c r="AA10" s="1" t="str">
        <v>M2</v>
      </c>
      <c r="AB10" s="11" t="str">
        <v>DO</v>
      </c>
      <c r="AC10" s="13" t="str">
        <v>M2</v>
      </c>
    </row>
    <row r="11" spans="1:29" x14ac:dyDescent="0.35">
      <c r="A11" s="14" t="s">
        <v>14</v>
      </c>
      <c r="B11" s="1" t="str">
        <v>M2</v>
      </c>
      <c r="C11" s="1" t="str">
        <v>M2</v>
      </c>
      <c r="D11" s="1" t="str">
        <v>M2</v>
      </c>
      <c r="E11" s="1" t="str">
        <v>M1</v>
      </c>
      <c r="F11" s="1" t="str">
        <v>M1</v>
      </c>
      <c r="G11" s="11" t="str">
        <v>M2</v>
      </c>
      <c r="H11" s="11" t="str">
        <v>DO</v>
      </c>
      <c r="I11" s="1" t="str">
        <v>M2</v>
      </c>
      <c r="J11" s="1" t="str">
        <v>M2</v>
      </c>
      <c r="K11" s="1" t="str">
        <v>M2</v>
      </c>
      <c r="L11" s="1" t="str">
        <v>M1</v>
      </c>
      <c r="M11" s="1" t="str">
        <v>M1</v>
      </c>
      <c r="N11" s="11" t="str">
        <v>M2</v>
      </c>
      <c r="O11" s="11" t="str">
        <v>DO</v>
      </c>
      <c r="P11" s="1" t="str">
        <v>A1</v>
      </c>
      <c r="Q11" s="1" t="str">
        <v>M2</v>
      </c>
      <c r="R11" s="1" t="str">
        <v>M2</v>
      </c>
      <c r="S11" s="1" t="str">
        <v>A1</v>
      </c>
      <c r="T11" s="1" t="str">
        <v>DO</v>
      </c>
      <c r="U11" s="11" t="str">
        <v>M2</v>
      </c>
      <c r="V11" s="11" t="str">
        <v>M2</v>
      </c>
      <c r="W11" s="1" t="str">
        <v>A1</v>
      </c>
      <c r="X11" s="1" t="str">
        <v>M2</v>
      </c>
      <c r="Y11" s="1" t="str">
        <v>M2</v>
      </c>
      <c r="Z11" s="1" t="str">
        <v>A1</v>
      </c>
      <c r="AA11" s="1" t="str">
        <v>DO</v>
      </c>
      <c r="AB11" s="11" t="str">
        <v>M2</v>
      </c>
      <c r="AC11" s="13" t="str">
        <v>M2</v>
      </c>
    </row>
    <row r="12" spans="1:29" x14ac:dyDescent="0.35">
      <c r="A12" s="15" t="s">
        <v>15</v>
      </c>
      <c r="B12" s="1" t="str">
        <v>M2</v>
      </c>
      <c r="C12" s="1" t="str">
        <v>DO</v>
      </c>
      <c r="D12" s="1" t="str">
        <v>M2</v>
      </c>
      <c r="E12" s="1" t="str">
        <v>M2</v>
      </c>
      <c r="F12" s="1" t="str">
        <v>A1</v>
      </c>
      <c r="G12" s="11" t="str">
        <v>M2</v>
      </c>
      <c r="H12" s="11" t="str">
        <v>M1</v>
      </c>
      <c r="I12" s="1" t="str">
        <v>M2</v>
      </c>
      <c r="J12" s="1" t="str">
        <v>DO</v>
      </c>
      <c r="K12" s="1" t="str">
        <v>M2</v>
      </c>
      <c r="L12" s="1" t="str">
        <v>M2</v>
      </c>
      <c r="M12" s="1" t="str">
        <v>A1</v>
      </c>
      <c r="N12" s="11" t="str">
        <v>M2</v>
      </c>
      <c r="O12" s="11" t="str">
        <v>M1</v>
      </c>
      <c r="P12" s="1" t="str">
        <v>M2</v>
      </c>
      <c r="Q12" s="1" t="str">
        <v>M2</v>
      </c>
      <c r="R12" s="1" t="str">
        <v>M2</v>
      </c>
      <c r="S12" s="1" t="str">
        <v>A1</v>
      </c>
      <c r="T12" s="1" t="str">
        <v>A1</v>
      </c>
      <c r="U12" s="11" t="str">
        <v>M2</v>
      </c>
      <c r="V12" s="11" t="str">
        <v>DO</v>
      </c>
      <c r="W12" s="1" t="str">
        <v>M2</v>
      </c>
      <c r="X12" s="1" t="str">
        <v>M2</v>
      </c>
      <c r="Y12" s="1" t="str">
        <v>M2</v>
      </c>
      <c r="Z12" s="1" t="str">
        <v>A1</v>
      </c>
      <c r="AA12" s="1" t="str">
        <v>A1</v>
      </c>
      <c r="AB12" s="11" t="str">
        <v>M2</v>
      </c>
      <c r="AC12" s="13" t="str">
        <v>DO</v>
      </c>
    </row>
    <row r="13" spans="1:29" x14ac:dyDescent="0.35">
      <c r="A13" s="16" t="s">
        <v>16</v>
      </c>
      <c r="B13" s="18" t="str">
        <v>M2</v>
      </c>
      <c r="C13" s="18" t="str">
        <v>M2</v>
      </c>
      <c r="D13" s="18" t="str">
        <v>M2</v>
      </c>
      <c r="E13" s="18" t="str">
        <v>M1</v>
      </c>
      <c r="F13" s="18" t="str">
        <v>DO</v>
      </c>
      <c r="G13" s="19" t="str">
        <v>M2</v>
      </c>
      <c r="H13" s="19" t="str">
        <v>A1</v>
      </c>
      <c r="I13" s="18" t="str">
        <v>M2</v>
      </c>
      <c r="J13" s="18" t="str">
        <v>M2</v>
      </c>
      <c r="K13" s="18" t="str">
        <v>M2</v>
      </c>
      <c r="L13" s="18" t="str">
        <v>M1</v>
      </c>
      <c r="M13" s="18" t="str">
        <v>DO</v>
      </c>
      <c r="N13" s="19" t="str">
        <v>M2</v>
      </c>
      <c r="O13" s="19" t="str">
        <v>A1</v>
      </c>
      <c r="P13" s="18" t="str">
        <v>M1</v>
      </c>
      <c r="Q13" s="18" t="str">
        <v>A2</v>
      </c>
      <c r="R13" s="18" t="str">
        <v>A2</v>
      </c>
      <c r="S13" s="18" t="str">
        <v>DO</v>
      </c>
      <c r="T13" s="18" t="str">
        <v>M1</v>
      </c>
      <c r="U13" s="19" t="str">
        <v>A2</v>
      </c>
      <c r="V13" s="19" t="str">
        <v>A2</v>
      </c>
      <c r="W13" s="18" t="str">
        <v>M1</v>
      </c>
      <c r="X13" s="18" t="str">
        <v>A2</v>
      </c>
      <c r="Y13" s="18" t="str">
        <v>A2</v>
      </c>
      <c r="Z13" s="18" t="str">
        <v>DO</v>
      </c>
      <c r="AA13" s="18" t="str">
        <v>M1</v>
      </c>
      <c r="AB13" s="19" t="str">
        <v>A2</v>
      </c>
      <c r="AC13" s="20" t="str">
        <v>A2</v>
      </c>
    </row>
    <row r="15" spans="1:29" x14ac:dyDescent="0.35">
      <c r="A15" s="17" t="s">
        <v>17</v>
      </c>
    </row>
    <row r="16" spans="1:29" x14ac:dyDescent="0.35">
      <c r="A16" t="s">
        <v>18</v>
      </c>
      <c r="B16">
        <f t="shared" ref="B16:AC16" si="0">COUNTIF(B5:B13,"*M*")</f>
        <v>5</v>
      </c>
      <c r="C16">
        <f t="shared" si="0"/>
        <v>4</v>
      </c>
      <c r="D16">
        <f t="shared" si="0"/>
        <v>6</v>
      </c>
      <c r="E16">
        <f t="shared" si="0"/>
        <v>5</v>
      </c>
      <c r="F16">
        <f t="shared" si="0"/>
        <v>5</v>
      </c>
      <c r="G16">
        <f t="shared" si="0"/>
        <v>5</v>
      </c>
      <c r="H16">
        <f t="shared" si="0"/>
        <v>3</v>
      </c>
      <c r="I16">
        <f t="shared" si="0"/>
        <v>5</v>
      </c>
      <c r="J16">
        <f t="shared" si="0"/>
        <v>4</v>
      </c>
      <c r="K16">
        <f t="shared" si="0"/>
        <v>6</v>
      </c>
      <c r="L16">
        <f t="shared" si="0"/>
        <v>5</v>
      </c>
      <c r="M16">
        <f t="shared" si="0"/>
        <v>5</v>
      </c>
      <c r="N16">
        <f t="shared" si="0"/>
        <v>5</v>
      </c>
      <c r="O16">
        <f t="shared" si="0"/>
        <v>3</v>
      </c>
      <c r="P16">
        <f t="shared" si="0"/>
        <v>4</v>
      </c>
      <c r="Q16">
        <f t="shared" si="0"/>
        <v>3</v>
      </c>
      <c r="R16">
        <f t="shared" si="0"/>
        <v>3</v>
      </c>
      <c r="S16">
        <f t="shared" si="0"/>
        <v>4</v>
      </c>
      <c r="T16">
        <f t="shared" si="0"/>
        <v>4</v>
      </c>
      <c r="U16">
        <f t="shared" si="0"/>
        <v>4</v>
      </c>
      <c r="V16">
        <f t="shared" si="0"/>
        <v>3</v>
      </c>
      <c r="W16">
        <f t="shared" si="0"/>
        <v>4</v>
      </c>
      <c r="X16">
        <f t="shared" si="0"/>
        <v>3</v>
      </c>
      <c r="Y16">
        <f t="shared" si="0"/>
        <v>3</v>
      </c>
      <c r="Z16">
        <f t="shared" si="0"/>
        <v>4</v>
      </c>
      <c r="AA16">
        <f t="shared" si="0"/>
        <v>4</v>
      </c>
      <c r="AB16">
        <f t="shared" si="0"/>
        <v>4</v>
      </c>
      <c r="AC16">
        <f t="shared" si="0"/>
        <v>3</v>
      </c>
    </row>
    <row r="17" spans="1:29" x14ac:dyDescent="0.35">
      <c r="A17" t="s">
        <v>19</v>
      </c>
      <c r="B17">
        <f t="shared" ref="B17:AC17" si="1">COUNTIF(B5:B13,"A*")</f>
        <v>3</v>
      </c>
      <c r="C17">
        <f t="shared" si="1"/>
        <v>3</v>
      </c>
      <c r="D17">
        <f t="shared" si="1"/>
        <v>3</v>
      </c>
      <c r="E17">
        <f t="shared" si="1"/>
        <v>3</v>
      </c>
      <c r="F17">
        <f t="shared" si="1"/>
        <v>3</v>
      </c>
      <c r="G17">
        <f t="shared" si="1"/>
        <v>3</v>
      </c>
      <c r="H17">
        <f t="shared" si="1"/>
        <v>3</v>
      </c>
      <c r="I17">
        <f t="shared" si="1"/>
        <v>3</v>
      </c>
      <c r="J17">
        <f t="shared" si="1"/>
        <v>3</v>
      </c>
      <c r="K17">
        <f t="shared" si="1"/>
        <v>3</v>
      </c>
      <c r="L17">
        <f t="shared" si="1"/>
        <v>3</v>
      </c>
      <c r="M17">
        <f t="shared" si="1"/>
        <v>3</v>
      </c>
      <c r="N17">
        <f t="shared" si="1"/>
        <v>3</v>
      </c>
      <c r="O17">
        <f t="shared" si="1"/>
        <v>3</v>
      </c>
      <c r="P17">
        <f t="shared" si="1"/>
        <v>3</v>
      </c>
      <c r="Q17">
        <f t="shared" si="1"/>
        <v>3</v>
      </c>
      <c r="R17">
        <f t="shared" si="1"/>
        <v>3</v>
      </c>
      <c r="S17">
        <f t="shared" si="1"/>
        <v>3</v>
      </c>
      <c r="T17">
        <f t="shared" si="1"/>
        <v>3</v>
      </c>
      <c r="U17">
        <f t="shared" si="1"/>
        <v>4</v>
      </c>
      <c r="V17">
        <f t="shared" si="1"/>
        <v>4</v>
      </c>
      <c r="W17">
        <f t="shared" si="1"/>
        <v>3</v>
      </c>
      <c r="X17">
        <f t="shared" si="1"/>
        <v>3</v>
      </c>
      <c r="Y17">
        <f t="shared" si="1"/>
        <v>3</v>
      </c>
      <c r="Z17">
        <f t="shared" si="1"/>
        <v>3</v>
      </c>
      <c r="AA17">
        <f t="shared" si="1"/>
        <v>3</v>
      </c>
      <c r="AB17">
        <f t="shared" si="1"/>
        <v>4</v>
      </c>
      <c r="AC17">
        <f t="shared" si="1"/>
        <v>4</v>
      </c>
    </row>
    <row r="18" spans="1:29" x14ac:dyDescent="0.35">
      <c r="A18" t="s">
        <v>20</v>
      </c>
      <c r="B18">
        <f t="shared" ref="B18:AC18" si="2">COUNTIF(B5:B8,"*M*")</f>
        <v>2</v>
      </c>
      <c r="C18">
        <f t="shared" si="2"/>
        <v>0</v>
      </c>
      <c r="D18">
        <f t="shared" si="2"/>
        <v>2</v>
      </c>
      <c r="E18">
        <f t="shared" si="2"/>
        <v>2</v>
      </c>
      <c r="F18">
        <f t="shared" si="2"/>
        <v>3</v>
      </c>
      <c r="G18">
        <f t="shared" si="2"/>
        <v>1</v>
      </c>
      <c r="H18">
        <f t="shared" si="2"/>
        <v>2</v>
      </c>
      <c r="I18">
        <f t="shared" si="2"/>
        <v>2</v>
      </c>
      <c r="J18">
        <f t="shared" si="2"/>
        <v>0</v>
      </c>
      <c r="K18">
        <f t="shared" si="2"/>
        <v>2</v>
      </c>
      <c r="L18">
        <f t="shared" si="2"/>
        <v>2</v>
      </c>
      <c r="M18">
        <f t="shared" si="2"/>
        <v>3</v>
      </c>
      <c r="N18">
        <f t="shared" si="2"/>
        <v>1</v>
      </c>
      <c r="O18">
        <f t="shared" si="2"/>
        <v>2</v>
      </c>
      <c r="P18">
        <f t="shared" si="2"/>
        <v>1</v>
      </c>
      <c r="Q18">
        <f t="shared" si="2"/>
        <v>0</v>
      </c>
      <c r="R18">
        <f t="shared" si="2"/>
        <v>0</v>
      </c>
      <c r="S18">
        <f t="shared" si="2"/>
        <v>3</v>
      </c>
      <c r="T18">
        <f t="shared" si="2"/>
        <v>1</v>
      </c>
      <c r="U18">
        <f t="shared" si="2"/>
        <v>2</v>
      </c>
      <c r="V18">
        <f t="shared" si="2"/>
        <v>1</v>
      </c>
      <c r="W18">
        <f t="shared" si="2"/>
        <v>1</v>
      </c>
      <c r="X18">
        <f t="shared" si="2"/>
        <v>0</v>
      </c>
      <c r="Y18">
        <f t="shared" si="2"/>
        <v>0</v>
      </c>
      <c r="Z18">
        <f t="shared" si="2"/>
        <v>3</v>
      </c>
      <c r="AA18">
        <f t="shared" si="2"/>
        <v>1</v>
      </c>
      <c r="AB18">
        <f t="shared" si="2"/>
        <v>2</v>
      </c>
      <c r="AC18">
        <f t="shared" si="2"/>
        <v>1</v>
      </c>
    </row>
    <row r="19" spans="1:29" x14ac:dyDescent="0.35">
      <c r="A19" t="s">
        <v>21</v>
      </c>
      <c r="B19">
        <f t="shared" ref="B19:AC19" si="3">COUNTIF(B5:B8,"*A*")</f>
        <v>2</v>
      </c>
      <c r="C19">
        <f t="shared" si="3"/>
        <v>3</v>
      </c>
      <c r="D19">
        <f t="shared" si="3"/>
        <v>2</v>
      </c>
      <c r="E19">
        <f t="shared" si="3"/>
        <v>1</v>
      </c>
      <c r="F19">
        <f t="shared" si="3"/>
        <v>1</v>
      </c>
      <c r="G19">
        <f t="shared" si="3"/>
        <v>2</v>
      </c>
      <c r="H19">
        <f t="shared" si="3"/>
        <v>1</v>
      </c>
      <c r="I19">
        <f t="shared" si="3"/>
        <v>2</v>
      </c>
      <c r="J19">
        <f t="shared" si="3"/>
        <v>3</v>
      </c>
      <c r="K19">
        <f t="shared" si="3"/>
        <v>2</v>
      </c>
      <c r="L19">
        <f t="shared" si="3"/>
        <v>1</v>
      </c>
      <c r="M19">
        <f t="shared" si="3"/>
        <v>1</v>
      </c>
      <c r="N19">
        <f t="shared" si="3"/>
        <v>2</v>
      </c>
      <c r="O19">
        <f t="shared" si="3"/>
        <v>1</v>
      </c>
      <c r="P19">
        <f t="shared" si="3"/>
        <v>2</v>
      </c>
      <c r="Q19">
        <f t="shared" si="3"/>
        <v>1</v>
      </c>
      <c r="R19">
        <f t="shared" si="3"/>
        <v>1</v>
      </c>
      <c r="S19">
        <f t="shared" si="3"/>
        <v>0</v>
      </c>
      <c r="T19">
        <f t="shared" si="3"/>
        <v>2</v>
      </c>
      <c r="U19">
        <f t="shared" si="3"/>
        <v>2</v>
      </c>
      <c r="V19">
        <f t="shared" si="3"/>
        <v>2</v>
      </c>
      <c r="W19">
        <f t="shared" si="3"/>
        <v>2</v>
      </c>
      <c r="X19">
        <f t="shared" si="3"/>
        <v>1</v>
      </c>
      <c r="Y19">
        <f t="shared" si="3"/>
        <v>1</v>
      </c>
      <c r="Z19">
        <f t="shared" si="3"/>
        <v>0</v>
      </c>
      <c r="AA19">
        <f t="shared" si="3"/>
        <v>2</v>
      </c>
      <c r="AB19">
        <f t="shared" si="3"/>
        <v>2</v>
      </c>
      <c r="AC19">
        <f t="shared" si="3"/>
        <v>2</v>
      </c>
    </row>
    <row r="20" spans="1:29" x14ac:dyDescent="0.35">
      <c r="A20" t="s">
        <v>22</v>
      </c>
      <c r="B20">
        <f t="shared" ref="B20:AC20" si="4">COUNTIF(B11:B13,"*M*")</f>
        <v>3</v>
      </c>
      <c r="C20">
        <f t="shared" si="4"/>
        <v>2</v>
      </c>
      <c r="D20">
        <f t="shared" si="4"/>
        <v>3</v>
      </c>
      <c r="E20">
        <f t="shared" si="4"/>
        <v>3</v>
      </c>
      <c r="F20">
        <f t="shared" si="4"/>
        <v>1</v>
      </c>
      <c r="G20">
        <f t="shared" si="4"/>
        <v>3</v>
      </c>
      <c r="H20">
        <f t="shared" si="4"/>
        <v>1</v>
      </c>
      <c r="I20">
        <f t="shared" si="4"/>
        <v>3</v>
      </c>
      <c r="J20">
        <f t="shared" si="4"/>
        <v>2</v>
      </c>
      <c r="K20">
        <f t="shared" si="4"/>
        <v>3</v>
      </c>
      <c r="L20">
        <f t="shared" si="4"/>
        <v>3</v>
      </c>
      <c r="M20">
        <f t="shared" si="4"/>
        <v>1</v>
      </c>
      <c r="N20">
        <f t="shared" si="4"/>
        <v>3</v>
      </c>
      <c r="O20">
        <f t="shared" si="4"/>
        <v>1</v>
      </c>
      <c r="P20">
        <f t="shared" si="4"/>
        <v>2</v>
      </c>
      <c r="Q20">
        <f t="shared" si="4"/>
        <v>2</v>
      </c>
      <c r="R20">
        <f t="shared" si="4"/>
        <v>2</v>
      </c>
      <c r="S20">
        <f t="shared" si="4"/>
        <v>0</v>
      </c>
      <c r="T20">
        <f t="shared" si="4"/>
        <v>1</v>
      </c>
      <c r="U20">
        <f t="shared" si="4"/>
        <v>2</v>
      </c>
      <c r="V20">
        <f t="shared" si="4"/>
        <v>1</v>
      </c>
      <c r="W20">
        <f t="shared" si="4"/>
        <v>2</v>
      </c>
      <c r="X20">
        <f t="shared" si="4"/>
        <v>2</v>
      </c>
      <c r="Y20">
        <f t="shared" si="4"/>
        <v>2</v>
      </c>
      <c r="Z20">
        <f t="shared" si="4"/>
        <v>0</v>
      </c>
      <c r="AA20">
        <f t="shared" si="4"/>
        <v>1</v>
      </c>
      <c r="AB20">
        <f t="shared" si="4"/>
        <v>2</v>
      </c>
      <c r="AC20">
        <f t="shared" si="4"/>
        <v>1</v>
      </c>
    </row>
    <row r="21" spans="1:29" x14ac:dyDescent="0.35">
      <c r="A21" t="s">
        <v>23</v>
      </c>
      <c r="B21">
        <f t="shared" ref="B21:AC21" si="5">COUNTIF(B11:B13,"*A*")</f>
        <v>0</v>
      </c>
      <c r="C21">
        <f t="shared" si="5"/>
        <v>0</v>
      </c>
      <c r="D21">
        <f t="shared" si="5"/>
        <v>0</v>
      </c>
      <c r="E21">
        <f t="shared" si="5"/>
        <v>0</v>
      </c>
      <c r="F21">
        <f t="shared" si="5"/>
        <v>1</v>
      </c>
      <c r="G21">
        <f t="shared" si="5"/>
        <v>0</v>
      </c>
      <c r="H21">
        <f t="shared" si="5"/>
        <v>1</v>
      </c>
      <c r="I21">
        <f t="shared" si="5"/>
        <v>0</v>
      </c>
      <c r="J21">
        <f t="shared" si="5"/>
        <v>0</v>
      </c>
      <c r="K21">
        <f t="shared" si="5"/>
        <v>0</v>
      </c>
      <c r="L21">
        <f t="shared" si="5"/>
        <v>0</v>
      </c>
      <c r="M21">
        <f t="shared" si="5"/>
        <v>1</v>
      </c>
      <c r="N21">
        <f t="shared" si="5"/>
        <v>0</v>
      </c>
      <c r="O21">
        <f t="shared" si="5"/>
        <v>1</v>
      </c>
      <c r="P21">
        <f t="shared" si="5"/>
        <v>1</v>
      </c>
      <c r="Q21">
        <f t="shared" si="5"/>
        <v>1</v>
      </c>
      <c r="R21">
        <f t="shared" si="5"/>
        <v>1</v>
      </c>
      <c r="S21">
        <f t="shared" si="5"/>
        <v>2</v>
      </c>
      <c r="T21">
        <f t="shared" si="5"/>
        <v>1</v>
      </c>
      <c r="U21">
        <f t="shared" si="5"/>
        <v>1</v>
      </c>
      <c r="V21">
        <f t="shared" si="5"/>
        <v>1</v>
      </c>
      <c r="W21">
        <f t="shared" si="5"/>
        <v>1</v>
      </c>
      <c r="X21">
        <f t="shared" si="5"/>
        <v>1</v>
      </c>
      <c r="Y21">
        <f t="shared" si="5"/>
        <v>1</v>
      </c>
      <c r="Z21">
        <f t="shared" si="5"/>
        <v>2</v>
      </c>
      <c r="AA21">
        <f t="shared" si="5"/>
        <v>1</v>
      </c>
      <c r="AB21">
        <f t="shared" si="5"/>
        <v>1</v>
      </c>
      <c r="AC21">
        <f t="shared" si="5"/>
        <v>1</v>
      </c>
    </row>
    <row r="22" spans="1:29" x14ac:dyDescent="0.35">
      <c r="A22" t="s">
        <v>24</v>
      </c>
      <c r="B22">
        <f t="shared" ref="B22:AC22" si="6">COUNTIF(B9:B10,"*M*")</f>
        <v>0</v>
      </c>
      <c r="C22">
        <f t="shared" si="6"/>
        <v>2</v>
      </c>
      <c r="D22">
        <f t="shared" si="6"/>
        <v>1</v>
      </c>
      <c r="E22">
        <f t="shared" si="6"/>
        <v>0</v>
      </c>
      <c r="F22">
        <f t="shared" si="6"/>
        <v>1</v>
      </c>
      <c r="G22">
        <f t="shared" si="6"/>
        <v>1</v>
      </c>
      <c r="H22">
        <f t="shared" si="6"/>
        <v>0</v>
      </c>
      <c r="I22">
        <f t="shared" si="6"/>
        <v>0</v>
      </c>
      <c r="J22">
        <f t="shared" si="6"/>
        <v>2</v>
      </c>
      <c r="K22">
        <f t="shared" si="6"/>
        <v>1</v>
      </c>
      <c r="L22">
        <f t="shared" si="6"/>
        <v>0</v>
      </c>
      <c r="M22">
        <f t="shared" si="6"/>
        <v>1</v>
      </c>
      <c r="N22">
        <f t="shared" si="6"/>
        <v>1</v>
      </c>
      <c r="O22">
        <f t="shared" si="6"/>
        <v>0</v>
      </c>
      <c r="P22">
        <f t="shared" si="6"/>
        <v>1</v>
      </c>
      <c r="Q22">
        <f t="shared" si="6"/>
        <v>1</v>
      </c>
      <c r="R22">
        <f t="shared" si="6"/>
        <v>1</v>
      </c>
      <c r="S22">
        <f t="shared" si="6"/>
        <v>1</v>
      </c>
      <c r="T22">
        <f t="shared" si="6"/>
        <v>2</v>
      </c>
      <c r="U22">
        <f t="shared" si="6"/>
        <v>0</v>
      </c>
      <c r="V22">
        <f t="shared" si="6"/>
        <v>1</v>
      </c>
      <c r="W22">
        <f t="shared" si="6"/>
        <v>1</v>
      </c>
      <c r="X22">
        <f t="shared" si="6"/>
        <v>1</v>
      </c>
      <c r="Y22">
        <f t="shared" si="6"/>
        <v>1</v>
      </c>
      <c r="Z22">
        <f t="shared" si="6"/>
        <v>1</v>
      </c>
      <c r="AA22">
        <f t="shared" si="6"/>
        <v>2</v>
      </c>
      <c r="AB22">
        <f t="shared" si="6"/>
        <v>0</v>
      </c>
      <c r="AC22">
        <f t="shared" si="6"/>
        <v>1</v>
      </c>
    </row>
    <row r="23" spans="1:29" x14ac:dyDescent="0.35">
      <c r="A23" t="s">
        <v>25</v>
      </c>
      <c r="B23">
        <f t="shared" ref="B23:AC23" si="7">COUNTIF(B9:B10,"*A*")</f>
        <v>1</v>
      </c>
      <c r="C23">
        <f t="shared" si="7"/>
        <v>0</v>
      </c>
      <c r="D23">
        <f t="shared" si="7"/>
        <v>1</v>
      </c>
      <c r="E23">
        <f t="shared" si="7"/>
        <v>2</v>
      </c>
      <c r="F23">
        <f t="shared" si="7"/>
        <v>1</v>
      </c>
      <c r="G23">
        <f t="shared" si="7"/>
        <v>1</v>
      </c>
      <c r="H23">
        <f t="shared" si="7"/>
        <v>1</v>
      </c>
      <c r="I23">
        <f t="shared" si="7"/>
        <v>1</v>
      </c>
      <c r="J23">
        <f t="shared" si="7"/>
        <v>0</v>
      </c>
      <c r="K23">
        <f t="shared" si="7"/>
        <v>1</v>
      </c>
      <c r="L23">
        <f t="shared" si="7"/>
        <v>2</v>
      </c>
      <c r="M23">
        <f t="shared" si="7"/>
        <v>1</v>
      </c>
      <c r="N23">
        <f t="shared" si="7"/>
        <v>1</v>
      </c>
      <c r="O23">
        <f t="shared" si="7"/>
        <v>1</v>
      </c>
      <c r="P23">
        <f t="shared" si="7"/>
        <v>0</v>
      </c>
      <c r="Q23">
        <f t="shared" si="7"/>
        <v>1</v>
      </c>
      <c r="R23">
        <f t="shared" si="7"/>
        <v>1</v>
      </c>
      <c r="S23">
        <f t="shared" si="7"/>
        <v>1</v>
      </c>
      <c r="T23">
        <f t="shared" si="7"/>
        <v>0</v>
      </c>
      <c r="U23">
        <f t="shared" si="7"/>
        <v>1</v>
      </c>
      <c r="V23">
        <f t="shared" si="7"/>
        <v>1</v>
      </c>
      <c r="W23">
        <f t="shared" si="7"/>
        <v>0</v>
      </c>
      <c r="X23">
        <f t="shared" si="7"/>
        <v>1</v>
      </c>
      <c r="Y23">
        <f t="shared" si="7"/>
        <v>1</v>
      </c>
      <c r="Z23">
        <f t="shared" si="7"/>
        <v>1</v>
      </c>
      <c r="AA23">
        <f t="shared" si="7"/>
        <v>0</v>
      </c>
      <c r="AB23">
        <f t="shared" si="7"/>
        <v>1</v>
      </c>
      <c r="AC23">
        <f t="shared" si="7"/>
        <v>1</v>
      </c>
    </row>
    <row r="25" spans="1:29" x14ac:dyDescent="0.35">
      <c r="A25" s="17" t="s">
        <v>26</v>
      </c>
    </row>
    <row r="26" spans="1:29" x14ac:dyDescent="0.35">
      <c r="A26" t="s">
        <v>27</v>
      </c>
      <c r="B26" t="s">
        <v>28</v>
      </c>
    </row>
    <row r="27" spans="1:29" x14ac:dyDescent="0.35">
      <c r="A27" t="s">
        <v>29</v>
      </c>
      <c r="B27" t="s">
        <v>30</v>
      </c>
    </row>
    <row r="28" spans="1:29" x14ac:dyDescent="0.35">
      <c r="A28" t="s">
        <v>31</v>
      </c>
      <c r="B28" t="s">
        <v>32</v>
      </c>
    </row>
    <row r="29" spans="1:29" x14ac:dyDescent="0.35">
      <c r="A29" t="s">
        <v>33</v>
      </c>
      <c r="B29" t="s">
        <v>34</v>
      </c>
    </row>
    <row r="30" spans="1:29" x14ac:dyDescent="0.35">
      <c r="A30" t="s">
        <v>35</v>
      </c>
      <c r="B30" t="s">
        <v>36</v>
      </c>
    </row>
    <row r="31" spans="1:29" x14ac:dyDescent="0.35">
      <c r="A31" t="s">
        <v>37</v>
      </c>
      <c r="B31" t="s">
        <v>38</v>
      </c>
    </row>
    <row r="32" spans="1:29" x14ac:dyDescent="0.35">
      <c r="A32" t="s">
        <v>39</v>
      </c>
      <c r="B32" t="s">
        <v>40</v>
      </c>
    </row>
    <row r="33" spans="1:1" x14ac:dyDescent="0.35">
      <c r="A33" s="21" t="s">
        <v>41</v>
      </c>
    </row>
  </sheetData>
  <conditionalFormatting sqref="A5:XFD13">
    <cfRule type="cellIs" dxfId="9" priority="12" operator="equal">
      <formula>"M3"</formula>
    </cfRule>
  </conditionalFormatting>
  <conditionalFormatting sqref="B16:F16 I16:M16 P16 S16:T16 W16 Z16:AA16">
    <cfRule type="cellIs" dxfId="8" priority="10" operator="lessThan">
      <formula>4</formula>
    </cfRule>
    <cfRule type="cellIs" dxfId="7" priority="11" operator="greaterThan">
      <formula>4</formula>
    </cfRule>
  </conditionalFormatting>
  <conditionalFormatting sqref="B17:F17 I17:M17 P17 S17:T17 W17 Z17:AA17">
    <cfRule type="cellIs" dxfId="6" priority="6" operator="lessThan">
      <formula>3</formula>
    </cfRule>
  </conditionalFormatting>
  <conditionalFormatting sqref="B17:AC17">
    <cfRule type="cellIs" dxfId="5" priority="5" operator="greaterThan">
      <formula>3</formula>
    </cfRule>
  </conditionalFormatting>
  <conditionalFormatting sqref="B18:AC18 B20:AC20 B22:AC22">
    <cfRule type="cellIs" dxfId="4" priority="2" operator="lessThan">
      <formula>1</formula>
    </cfRule>
  </conditionalFormatting>
  <conditionalFormatting sqref="B18:AC23">
    <cfRule type="cellIs" dxfId="3" priority="1" operator="greaterThan">
      <formula>1</formula>
    </cfRule>
  </conditionalFormatting>
  <conditionalFormatting sqref="B19:AC19 B21:AC21 B23:AC23">
    <cfRule type="cellIs" dxfId="2" priority="3" operator="lessThan">
      <formula>1</formula>
    </cfRule>
  </conditionalFormatting>
  <conditionalFormatting sqref="G16:H16 N16:O16 Q16:R16 U16:V16 X16:Y16 AB16:AC16">
    <cfRule type="cellIs" dxfId="1" priority="9" operator="greaterThan">
      <formula>3</formula>
    </cfRule>
  </conditionalFormatting>
  <conditionalFormatting sqref="G16:H17 N16:O17 Q16:R17 U16:V17 X16:Y17 AB16:AC17">
    <cfRule type="cellIs" dxfId="0" priority="4" operator="lessThan">
      <formula>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"/>
  <sheetViews>
    <sheetView workbookViewId="0"/>
  </sheetViews>
  <sheetFormatPr defaultRowHeight="14.5" x14ac:dyDescent="0.35"/>
  <sheetData>
    <row r="1" spans="1:29" x14ac:dyDescent="0.35">
      <c r="A1" s="22" t="s">
        <v>42</v>
      </c>
      <c r="B1" s="22" t="s">
        <v>43</v>
      </c>
      <c r="C1" s="22" t="s">
        <v>44</v>
      </c>
      <c r="D1" s="22" t="s">
        <v>45</v>
      </c>
      <c r="E1" s="22" t="s">
        <v>46</v>
      </c>
      <c r="F1" s="22" t="s">
        <v>47</v>
      </c>
      <c r="G1" s="22" t="s">
        <v>48</v>
      </c>
      <c r="H1" s="22" t="s">
        <v>49</v>
      </c>
      <c r="I1" s="22" t="s">
        <v>50</v>
      </c>
      <c r="J1" s="22" t="s">
        <v>51</v>
      </c>
      <c r="K1" s="22" t="s">
        <v>52</v>
      </c>
      <c r="L1" s="22" t="s">
        <v>53</v>
      </c>
      <c r="M1" s="22" t="s">
        <v>54</v>
      </c>
      <c r="N1" s="22" t="s">
        <v>55</v>
      </c>
      <c r="O1" s="22" t="s">
        <v>56</v>
      </c>
      <c r="P1" s="22" t="s">
        <v>57</v>
      </c>
      <c r="Q1" s="22" t="s">
        <v>58</v>
      </c>
      <c r="R1" s="22" t="s">
        <v>59</v>
      </c>
      <c r="S1" s="22" t="s">
        <v>60</v>
      </c>
      <c r="T1" s="22" t="s">
        <v>61</v>
      </c>
      <c r="U1" s="22" t="s">
        <v>62</v>
      </c>
      <c r="V1" s="22" t="s">
        <v>63</v>
      </c>
      <c r="W1" s="22" t="s">
        <v>64</v>
      </c>
      <c r="X1" s="22" t="s">
        <v>65</v>
      </c>
      <c r="Y1" s="22" t="s">
        <v>66</v>
      </c>
      <c r="Z1" s="22" t="s">
        <v>67</v>
      </c>
      <c r="AA1" s="22" t="s">
        <v>68</v>
      </c>
      <c r="AB1" s="22" t="s">
        <v>69</v>
      </c>
      <c r="AC1" s="22" t="s">
        <v>70</v>
      </c>
    </row>
    <row r="2" spans="1:29" x14ac:dyDescent="0.35">
      <c r="A2" s="22">
        <v>1</v>
      </c>
      <c r="B2" t="s">
        <v>29</v>
      </c>
      <c r="C2" t="s">
        <v>35</v>
      </c>
      <c r="D2" t="s">
        <v>33</v>
      </c>
      <c r="E2" t="s">
        <v>29</v>
      </c>
      <c r="F2" t="s">
        <v>29</v>
      </c>
      <c r="G2" t="s">
        <v>33</v>
      </c>
      <c r="H2" t="s">
        <v>37</v>
      </c>
      <c r="I2" t="s">
        <v>29</v>
      </c>
      <c r="J2" t="s">
        <v>35</v>
      </c>
      <c r="K2" t="s">
        <v>33</v>
      </c>
      <c r="L2" t="s">
        <v>29</v>
      </c>
      <c r="M2" t="s">
        <v>29</v>
      </c>
      <c r="N2" t="s">
        <v>33</v>
      </c>
      <c r="O2" t="s">
        <v>37</v>
      </c>
      <c r="P2" t="s">
        <v>29</v>
      </c>
      <c r="Q2" t="s">
        <v>35</v>
      </c>
      <c r="R2" t="s">
        <v>35</v>
      </c>
      <c r="S2" t="s">
        <v>27</v>
      </c>
      <c r="T2" t="s">
        <v>33</v>
      </c>
      <c r="U2" t="s">
        <v>35</v>
      </c>
      <c r="V2" t="s">
        <v>37</v>
      </c>
      <c r="W2" t="s">
        <v>29</v>
      </c>
      <c r="X2" t="s">
        <v>35</v>
      </c>
      <c r="Y2" t="s">
        <v>35</v>
      </c>
      <c r="Z2" t="s">
        <v>27</v>
      </c>
      <c r="AA2" t="s">
        <v>33</v>
      </c>
      <c r="AB2" t="s">
        <v>35</v>
      </c>
      <c r="AC2" t="s">
        <v>37</v>
      </c>
    </row>
    <row r="3" spans="1:29" x14ac:dyDescent="0.35">
      <c r="A3" s="22">
        <v>2</v>
      </c>
      <c r="B3" t="s">
        <v>27</v>
      </c>
      <c r="C3" t="s">
        <v>35</v>
      </c>
      <c r="D3" t="s">
        <v>35</v>
      </c>
      <c r="E3" t="s">
        <v>37</v>
      </c>
      <c r="F3" t="s">
        <v>29</v>
      </c>
      <c r="G3" t="s">
        <v>33</v>
      </c>
      <c r="H3" t="s">
        <v>35</v>
      </c>
      <c r="I3" t="s">
        <v>27</v>
      </c>
      <c r="J3" t="s">
        <v>35</v>
      </c>
      <c r="K3" t="s">
        <v>35</v>
      </c>
      <c r="L3" t="s">
        <v>37</v>
      </c>
      <c r="M3" t="s">
        <v>29</v>
      </c>
      <c r="N3" t="s">
        <v>33</v>
      </c>
      <c r="O3" t="s">
        <v>35</v>
      </c>
      <c r="P3" t="s">
        <v>35</v>
      </c>
      <c r="Q3" t="s">
        <v>39</v>
      </c>
      <c r="R3" t="s">
        <v>39</v>
      </c>
      <c r="S3" t="s">
        <v>37</v>
      </c>
      <c r="T3" t="s">
        <v>29</v>
      </c>
      <c r="U3" t="s">
        <v>35</v>
      </c>
      <c r="V3" t="s">
        <v>35</v>
      </c>
      <c r="W3" t="s">
        <v>35</v>
      </c>
      <c r="X3" t="s">
        <v>39</v>
      </c>
      <c r="Y3" t="s">
        <v>39</v>
      </c>
      <c r="Z3" t="s">
        <v>37</v>
      </c>
      <c r="AA3" t="s">
        <v>29</v>
      </c>
      <c r="AB3" t="s">
        <v>35</v>
      </c>
      <c r="AC3" t="s">
        <v>35</v>
      </c>
    </row>
    <row r="4" spans="1:29" x14ac:dyDescent="0.35">
      <c r="A4" s="22">
        <v>3</v>
      </c>
      <c r="B4" t="s">
        <v>35</v>
      </c>
      <c r="C4" t="s">
        <v>33</v>
      </c>
      <c r="D4" t="s">
        <v>27</v>
      </c>
      <c r="E4" t="s">
        <v>35</v>
      </c>
      <c r="F4" t="s">
        <v>29</v>
      </c>
      <c r="G4" t="s">
        <v>37</v>
      </c>
      <c r="H4" t="s">
        <v>29</v>
      </c>
      <c r="I4" t="s">
        <v>35</v>
      </c>
      <c r="J4" t="s">
        <v>33</v>
      </c>
      <c r="K4" t="s">
        <v>27</v>
      </c>
      <c r="L4" t="s">
        <v>35</v>
      </c>
      <c r="M4" t="s">
        <v>29</v>
      </c>
      <c r="N4" t="s">
        <v>37</v>
      </c>
      <c r="O4" t="s">
        <v>29</v>
      </c>
      <c r="P4" t="s">
        <v>37</v>
      </c>
      <c r="Q4" t="s">
        <v>39</v>
      </c>
      <c r="R4" t="s">
        <v>39</v>
      </c>
      <c r="S4" t="s">
        <v>29</v>
      </c>
      <c r="T4" t="s">
        <v>35</v>
      </c>
      <c r="U4" t="s">
        <v>29</v>
      </c>
      <c r="V4" t="s">
        <v>35</v>
      </c>
      <c r="W4" t="s">
        <v>37</v>
      </c>
      <c r="X4" t="s">
        <v>39</v>
      </c>
      <c r="Y4" t="s">
        <v>39</v>
      </c>
      <c r="Z4" t="s">
        <v>29</v>
      </c>
      <c r="AA4" t="s">
        <v>35</v>
      </c>
      <c r="AB4" t="s">
        <v>29</v>
      </c>
      <c r="AC4" t="s">
        <v>35</v>
      </c>
    </row>
    <row r="5" spans="1:29" x14ac:dyDescent="0.35">
      <c r="A5" s="22">
        <v>4</v>
      </c>
      <c r="B5" t="s">
        <v>35</v>
      </c>
      <c r="C5" t="s">
        <v>37</v>
      </c>
      <c r="D5" t="s">
        <v>27</v>
      </c>
      <c r="E5" t="s">
        <v>29</v>
      </c>
      <c r="F5" t="s">
        <v>33</v>
      </c>
      <c r="G5" t="s">
        <v>29</v>
      </c>
      <c r="H5" t="s">
        <v>29</v>
      </c>
      <c r="I5" t="s">
        <v>35</v>
      </c>
      <c r="J5" t="s">
        <v>37</v>
      </c>
      <c r="K5" t="s">
        <v>27</v>
      </c>
      <c r="L5" t="s">
        <v>29</v>
      </c>
      <c r="M5" t="s">
        <v>33</v>
      </c>
      <c r="N5" t="s">
        <v>29</v>
      </c>
      <c r="O5" t="s">
        <v>29</v>
      </c>
      <c r="P5" t="s">
        <v>35</v>
      </c>
      <c r="Q5" t="s">
        <v>39</v>
      </c>
      <c r="R5" t="s">
        <v>39</v>
      </c>
      <c r="S5" t="s">
        <v>29</v>
      </c>
      <c r="T5" t="s">
        <v>37</v>
      </c>
      <c r="U5" t="s">
        <v>29</v>
      </c>
      <c r="V5" t="s">
        <v>29</v>
      </c>
      <c r="W5" t="s">
        <v>35</v>
      </c>
      <c r="X5" t="s">
        <v>39</v>
      </c>
      <c r="Y5" t="s">
        <v>39</v>
      </c>
      <c r="Z5" t="s">
        <v>29</v>
      </c>
      <c r="AA5" t="s">
        <v>37</v>
      </c>
      <c r="AB5" t="s">
        <v>29</v>
      </c>
      <c r="AC5" t="s">
        <v>29</v>
      </c>
    </row>
    <row r="6" spans="1:29" x14ac:dyDescent="0.35">
      <c r="A6" s="22">
        <v>5</v>
      </c>
      <c r="B6" t="s">
        <v>33</v>
      </c>
      <c r="C6" t="s">
        <v>29</v>
      </c>
      <c r="D6" t="s">
        <v>33</v>
      </c>
      <c r="E6" t="s">
        <v>35</v>
      </c>
      <c r="F6" t="s">
        <v>29</v>
      </c>
      <c r="G6" t="s">
        <v>35</v>
      </c>
      <c r="H6" t="s">
        <v>37</v>
      </c>
      <c r="I6" t="s">
        <v>33</v>
      </c>
      <c r="J6" t="s">
        <v>29</v>
      </c>
      <c r="K6" t="s">
        <v>33</v>
      </c>
      <c r="L6" t="s">
        <v>35</v>
      </c>
      <c r="M6" t="s">
        <v>29</v>
      </c>
      <c r="N6" t="s">
        <v>35</v>
      </c>
      <c r="O6" t="s">
        <v>37</v>
      </c>
      <c r="P6" t="s">
        <v>37</v>
      </c>
      <c r="Q6" t="s">
        <v>27</v>
      </c>
      <c r="R6" t="s">
        <v>29</v>
      </c>
      <c r="S6" t="s">
        <v>35</v>
      </c>
      <c r="T6" t="s">
        <v>29</v>
      </c>
      <c r="U6" t="s">
        <v>35</v>
      </c>
      <c r="V6" t="s">
        <v>33</v>
      </c>
      <c r="W6" t="s">
        <v>37</v>
      </c>
      <c r="X6" t="s">
        <v>27</v>
      </c>
      <c r="Y6" t="s">
        <v>29</v>
      </c>
      <c r="Z6" t="s">
        <v>35</v>
      </c>
      <c r="AA6" t="s">
        <v>29</v>
      </c>
      <c r="AB6" t="s">
        <v>35</v>
      </c>
      <c r="AC6" t="s">
        <v>33</v>
      </c>
    </row>
    <row r="7" spans="1:29" x14ac:dyDescent="0.35">
      <c r="A7" s="22">
        <v>6</v>
      </c>
      <c r="B7" t="s">
        <v>37</v>
      </c>
      <c r="C7" t="s">
        <v>29</v>
      </c>
      <c r="D7" t="s">
        <v>29</v>
      </c>
      <c r="E7" t="s">
        <v>33</v>
      </c>
      <c r="F7" t="s">
        <v>33</v>
      </c>
      <c r="G7" t="s">
        <v>29</v>
      </c>
      <c r="H7" t="s">
        <v>35</v>
      </c>
      <c r="I7" t="s">
        <v>37</v>
      </c>
      <c r="J7" t="s">
        <v>29</v>
      </c>
      <c r="K7" t="s">
        <v>29</v>
      </c>
      <c r="L7" t="s">
        <v>33</v>
      </c>
      <c r="M7" t="s">
        <v>33</v>
      </c>
      <c r="N7" t="s">
        <v>29</v>
      </c>
      <c r="O7" t="s">
        <v>35</v>
      </c>
      <c r="P7" t="s">
        <v>29</v>
      </c>
      <c r="Q7" t="s">
        <v>33</v>
      </c>
      <c r="R7" t="s">
        <v>33</v>
      </c>
      <c r="S7" t="s">
        <v>29</v>
      </c>
      <c r="T7" t="s">
        <v>29</v>
      </c>
      <c r="U7" t="s">
        <v>37</v>
      </c>
      <c r="V7" t="s">
        <v>29</v>
      </c>
      <c r="W7" t="s">
        <v>29</v>
      </c>
      <c r="X7" t="s">
        <v>33</v>
      </c>
      <c r="Y7" t="s">
        <v>33</v>
      </c>
      <c r="Z7" t="s">
        <v>29</v>
      </c>
      <c r="AA7" t="s">
        <v>29</v>
      </c>
      <c r="AB7" t="s">
        <v>37</v>
      </c>
      <c r="AC7" t="s">
        <v>29</v>
      </c>
    </row>
    <row r="8" spans="1:29" x14ac:dyDescent="0.35">
      <c r="A8" s="22">
        <v>7</v>
      </c>
      <c r="B8" t="s">
        <v>29</v>
      </c>
      <c r="C8" t="s">
        <v>29</v>
      </c>
      <c r="D8" t="s">
        <v>29</v>
      </c>
      <c r="E8" t="s">
        <v>27</v>
      </c>
      <c r="F8" t="s">
        <v>27</v>
      </c>
      <c r="G8" t="s">
        <v>29</v>
      </c>
      <c r="H8" t="s">
        <v>37</v>
      </c>
      <c r="I8" t="s">
        <v>29</v>
      </c>
      <c r="J8" t="s">
        <v>29</v>
      </c>
      <c r="K8" t="s">
        <v>29</v>
      </c>
      <c r="L8" t="s">
        <v>27</v>
      </c>
      <c r="M8" t="s">
        <v>27</v>
      </c>
      <c r="N8" t="s">
        <v>29</v>
      </c>
      <c r="O8" t="s">
        <v>37</v>
      </c>
      <c r="P8" t="s">
        <v>33</v>
      </c>
      <c r="Q8" t="s">
        <v>29</v>
      </c>
      <c r="R8" t="s">
        <v>29</v>
      </c>
      <c r="S8" t="s">
        <v>33</v>
      </c>
      <c r="T8" t="s">
        <v>37</v>
      </c>
      <c r="U8" t="s">
        <v>29</v>
      </c>
      <c r="V8" t="s">
        <v>29</v>
      </c>
      <c r="W8" t="s">
        <v>33</v>
      </c>
      <c r="X8" t="s">
        <v>29</v>
      </c>
      <c r="Y8" t="s">
        <v>29</v>
      </c>
      <c r="Z8" t="s">
        <v>33</v>
      </c>
      <c r="AA8" t="s">
        <v>37</v>
      </c>
      <c r="AB8" t="s">
        <v>29</v>
      </c>
      <c r="AC8" t="s">
        <v>29</v>
      </c>
    </row>
    <row r="9" spans="1:29" x14ac:dyDescent="0.35">
      <c r="A9" s="22">
        <v>8</v>
      </c>
      <c r="B9" t="s">
        <v>29</v>
      </c>
      <c r="C9" t="s">
        <v>37</v>
      </c>
      <c r="D9" t="s">
        <v>29</v>
      </c>
      <c r="E9" t="s">
        <v>29</v>
      </c>
      <c r="F9" t="s">
        <v>33</v>
      </c>
      <c r="G9" t="s">
        <v>29</v>
      </c>
      <c r="H9" t="s">
        <v>27</v>
      </c>
      <c r="I9" t="s">
        <v>29</v>
      </c>
      <c r="J9" t="s">
        <v>37</v>
      </c>
      <c r="K9" t="s">
        <v>29</v>
      </c>
      <c r="L9" t="s">
        <v>29</v>
      </c>
      <c r="M9" t="s">
        <v>33</v>
      </c>
      <c r="N9" t="s">
        <v>29</v>
      </c>
      <c r="O9" t="s">
        <v>27</v>
      </c>
      <c r="P9" t="s">
        <v>29</v>
      </c>
      <c r="Q9" t="s">
        <v>29</v>
      </c>
      <c r="R9" t="s">
        <v>29</v>
      </c>
      <c r="S9" t="s">
        <v>33</v>
      </c>
      <c r="T9" t="s">
        <v>33</v>
      </c>
      <c r="U9" t="s">
        <v>29</v>
      </c>
      <c r="V9" t="s">
        <v>37</v>
      </c>
      <c r="W9" t="s">
        <v>29</v>
      </c>
      <c r="X9" t="s">
        <v>29</v>
      </c>
      <c r="Y9" t="s">
        <v>29</v>
      </c>
      <c r="Z9" t="s">
        <v>33</v>
      </c>
      <c r="AA9" t="s">
        <v>33</v>
      </c>
      <c r="AB9" t="s">
        <v>29</v>
      </c>
      <c r="AC9" t="s">
        <v>37</v>
      </c>
    </row>
    <row r="10" spans="1:29" x14ac:dyDescent="0.35">
      <c r="A10" s="22">
        <v>9</v>
      </c>
      <c r="B10" t="s">
        <v>29</v>
      </c>
      <c r="C10" t="s">
        <v>29</v>
      </c>
      <c r="D10" t="s">
        <v>29</v>
      </c>
      <c r="E10" t="s">
        <v>27</v>
      </c>
      <c r="F10" t="s">
        <v>37</v>
      </c>
      <c r="G10" t="s">
        <v>29</v>
      </c>
      <c r="H10" t="s">
        <v>33</v>
      </c>
      <c r="I10" t="s">
        <v>29</v>
      </c>
      <c r="J10" t="s">
        <v>29</v>
      </c>
      <c r="K10" t="s">
        <v>29</v>
      </c>
      <c r="L10" t="s">
        <v>27</v>
      </c>
      <c r="M10" t="s">
        <v>37</v>
      </c>
      <c r="N10" t="s">
        <v>29</v>
      </c>
      <c r="O10" t="s">
        <v>33</v>
      </c>
      <c r="P10" t="s">
        <v>27</v>
      </c>
      <c r="Q10" t="s">
        <v>35</v>
      </c>
      <c r="R10" t="s">
        <v>35</v>
      </c>
      <c r="S10" t="s">
        <v>37</v>
      </c>
      <c r="T10" t="s">
        <v>27</v>
      </c>
      <c r="U10" t="s">
        <v>35</v>
      </c>
      <c r="V10" t="s">
        <v>35</v>
      </c>
      <c r="W10" t="s">
        <v>27</v>
      </c>
      <c r="X10" t="s">
        <v>35</v>
      </c>
      <c r="Y10" t="s">
        <v>35</v>
      </c>
      <c r="Z10" t="s">
        <v>37</v>
      </c>
      <c r="AA10" t="s">
        <v>27</v>
      </c>
      <c r="AB10" t="s">
        <v>35</v>
      </c>
      <c r="AC10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Raw_results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Dinh</dc:creator>
  <cp:lastModifiedBy>MINH DANG TRINH</cp:lastModifiedBy>
  <dcterms:created xsi:type="dcterms:W3CDTF">2019-07-02T04:23:55Z</dcterms:created>
  <dcterms:modified xsi:type="dcterms:W3CDTF">2026-02-22T14:55:47Z</dcterms:modified>
</cp:coreProperties>
</file>